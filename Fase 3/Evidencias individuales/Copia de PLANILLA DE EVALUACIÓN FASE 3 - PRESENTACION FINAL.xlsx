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02268ADE-D45F-4F12-8089-CABD30C0A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<sst xmlns="http://schemas.openxmlformats.org/spreadsheetml/2006/main" count="182" uniqueCount="67">
  <si>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</si>
  <si>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</si>
  <si>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</si>
  <si>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</si>
  <si>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</si>
  <si>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</si>
  <si>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</si>
  <si>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</si>
  <si>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</si>
  <si>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</si>
  <si>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</si>
  <si>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</si>
  <si>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</si>
  <si>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</si>
  <si>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</si>
  <si>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</si>
  <si>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</si>
  <si>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</si>
  <si>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</si>
  <si>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</si>
  <si>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</si>
  <si>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</si>
  <si>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</si>
  <si>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</si>
  <si>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</si>
  <si>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</si>
  <si>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</si>
  <si>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</si>
  <si>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</si>
  <si>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</si>
  <si>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</si>
  <si>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</si>
  <si>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</si>
  <si>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</si>
  <si>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</si>
  <si>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</si>
  <si>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</si>
  <si>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</si>
  <si>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</si>
  <si>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</si>
  <si>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</si>
  <si>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</si>
  <si>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</si>
  <si>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</si>
  <si>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</si>
  <si>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</si>
  <si>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</si>
  <si>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</si>
  <si>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</si>
  <si>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</si>
  <si>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</si>
  <si>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</si>
  <si>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</si>
  <si>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</si>
  <si>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</si>
  <si>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</si>
  <si>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</si>
  <si>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</si>
  <si>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</si>
  <si>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</si>
  <si>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</si>
  <si>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</si>
  <si>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</si>
  <si>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</si>
  <si>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LUIS OLIVARES</t>
  </si>
  <si>
    <t xml:space="preserve">ORELLANA </t>
  </si>
  <si>
    <t xml:space="preserve">GALLARDO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</si>
</sst>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93" sqref="C93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5.2</v>
      </c>
      <c r="D4" s="37">
        <f>C60</f>
        <v>5.2</v>
      </c>
      <c r="E4" s="36">
        <f>C4*C$2+D4*D$2</f>
        <v>5.1999999999999993</v>
      </c>
    </row>
    <row r="5" spans="1:11" x14ac:dyDescent="0.25">
      <c r="A5" s="3">
        <v>2</v>
      </c>
      <c r="B5" s="16" t="s">
        <v>65</v>
      </c>
      <c r="C5" s="31">
        <f>C34</f>
        <v>5.2</v>
      </c>
      <c r="D5" s="37">
        <f>C73</f>
        <v>5.2</v>
      </c>
      <c r="E5" s="36">
        <f t="shared" ref="E5:E6" si="0">C5*C$2+D5*D$2</f>
        <v>5.1999999999999993</v>
      </c>
    </row>
    <row r="6" spans="1:11" x14ac:dyDescent="0.25">
      <c r="A6" s="3">
        <v>3</v>
      </c>
      <c r="B6" s="16" t="s">
        <v>66</v>
      </c>
      <c r="C6" s="31">
        <f>C47</f>
        <v>5.2</v>
      </c>
      <c r="D6" s="37">
        <f>C86</f>
        <v>5.2</v>
      </c>
      <c r="E6" s="36">
        <f t="shared" si="0"/>
        <v>5.1999999999999993</v>
      </c>
    </row>
    <row r="11" spans="1:11" ht="18.75" outlineLevel="1" x14ac:dyDescent="0.25">
      <c r="A11" s="48" t="s">
        <v>4</v>
      </c>
      <c r="B11" s="11" t="str">
        <f>B4</f>
        <v>LUIS OLIVARES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63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ref="D13:D17" si="4">IF($C16=CL,"X","")</f>
        <v>X</v>
      </c>
      <c r="E16" s="12">
        <f>IF(D16="X",100*0.05,"")</f>
        <v>5</v>
      </c>
      <c r="F16" s="12" t="str">
        <f t="shared" ref="F13:F17" si="5">IF($C16=L,"X","")</f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4"/>
        <v>X</v>
      </c>
      <c r="E17" s="12">
        <f>IF(D17="X",100*0.05,"")</f>
        <v>5</v>
      </c>
      <c r="F17" s="12" t="str">
        <f t="shared" si="5"/>
        <v/>
      </c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5.2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 xml:space="preserve">ORELLANA 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63</v>
      </c>
      <c r="G27" s="12">
        <f>IF(F27="X",60*0.25,"")</f>
        <v>15</v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ref="D26:D30" si="10">IF($C29=CL,"X","")</f>
        <v>X</v>
      </c>
      <c r="E29" s="12">
        <f>IF(D29="X",100*0.05,"")</f>
        <v>5</v>
      </c>
      <c r="F29" s="12" t="str">
        <f t="shared" ref="F26:F30" si="11">IF($C29=L,"X","")</f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5.2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 xml:space="preserve">GALLARDO 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63</v>
      </c>
      <c r="G40" s="12">
        <f>IF(F40="X",60*0.25,"")</f>
        <v>15</v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ref="D39:D43" si="15">IF($C42=CL,"X","")</f>
        <v>X</v>
      </c>
      <c r="E42" s="12">
        <f>IF(D42="X",100*0.05,"")</f>
        <v>5</v>
      </c>
      <c r="F42" s="12" t="str">
        <f t="shared" ref="F39:F43" si="16">IF($C42=L,"X","")</f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">
      <c r="A46" s="40"/>
      <c r="B46" s="18" t="s">
        <v>12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5.2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LUIS OLIVARES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7">IF($C52=ML,"X","")</f>
        <v/>
      </c>
      <c r="I52" s="12" t="str">
        <f>IF(H52="X",30*0.15,"")</f>
        <v/>
      </c>
      <c r="J52" s="12" t="str">
        <f t="shared" ref="J52:J56" si="18">IF($C52=NL,"X","")</f>
        <v/>
      </c>
      <c r="K52" s="12" t="str">
        <f t="shared" ref="K52:K58" si="19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63</v>
      </c>
      <c r="G53" s="12">
        <f>IF(F53="X",60*0.25,"")</f>
        <v>15</v>
      </c>
      <c r="H53" s="12" t="str">
        <f t="shared" si="17"/>
        <v/>
      </c>
      <c r="I53" s="12" t="str">
        <f>IF(H53="X",30*0.25,"")</f>
        <v/>
      </c>
      <c r="J53" s="12" t="str">
        <f t="shared" si="18"/>
        <v/>
      </c>
      <c r="K53" s="12" t="str">
        <f t="shared" si="19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63</v>
      </c>
      <c r="G54" s="12">
        <f>IF(F54="X",60*0.2,"")</f>
        <v>12</v>
      </c>
      <c r="H54" s="12" t="str">
        <f t="shared" si="17"/>
        <v/>
      </c>
      <c r="I54" s="12" t="str">
        <f>IF(H54="X",30*0.2,"")</f>
        <v/>
      </c>
      <c r="J54" s="12" t="str">
        <f t="shared" si="18"/>
        <v/>
      </c>
      <c r="K54" s="12" t="str">
        <f t="shared" si="19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ref="D52:D56" si="20">IF($C55=CL,"X","")</f>
        <v>X</v>
      </c>
      <c r="E55" s="12">
        <f>IF(D55="X",100*0.05,"")</f>
        <v>5</v>
      </c>
      <c r="F55" s="12" t="str">
        <f t="shared" ref="F52:F56" si="21">IF($C55=L,"X","")</f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20"/>
        <v>X</v>
      </c>
      <c r="E56" s="12">
        <f>IF(D56="X",100*0.05,"")</f>
        <v>5</v>
      </c>
      <c r="F56" s="12" t="str">
        <f t="shared" si="21"/>
        <v/>
      </c>
      <c r="G56" s="12" t="str">
        <f>IF(F56="X",60*0.05,"")</f>
        <v/>
      </c>
      <c r="H56" s="12" t="str">
        <f t="shared" si="17"/>
        <v/>
      </c>
      <c r="I56" s="12" t="str">
        <f>IF(H56="X",30*0.05,"")</f>
        <v/>
      </c>
      <c r="J56" s="12" t="str">
        <f t="shared" si="18"/>
        <v/>
      </c>
      <c r="K56" s="12" t="str">
        <f t="shared" si="19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9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9"/>
        <v/>
      </c>
    </row>
    <row r="59" spans="1:11" ht="24" customHeight="1" x14ac:dyDescent="0.3">
      <c r="A59" s="40"/>
      <c r="B59" s="18" t="s">
        <v>12</v>
      </c>
      <c r="C59" s="22">
        <f>E59+G59+I59+K59</f>
        <v>76</v>
      </c>
      <c r="D59" s="13"/>
      <c r="E59" s="13">
        <f>SUM(E52:E58)</f>
        <v>40</v>
      </c>
      <c r="F59" s="13"/>
      <c r="G59" s="13">
        <f>SUM(G52:G58)</f>
        <v>36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5.2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 xml:space="preserve">ORELLANA 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22">IF($C65=ML,"X","")</f>
        <v/>
      </c>
      <c r="I65" s="12" t="str">
        <f>IF(H65="X",30*0.15,"")</f>
        <v/>
      </c>
      <c r="J65" s="12" t="str">
        <f t="shared" ref="J65:J69" si="23">IF($C65=NL,"X","")</f>
        <v/>
      </c>
      <c r="K65" s="12" t="str">
        <f t="shared" ref="K65:K71" si="24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ref="D65:D69" si="25">IF($C68=CL,"X","")</f>
        <v>X</v>
      </c>
      <c r="E68" s="12">
        <f>IF(D68="X",100*0.05,"")</f>
        <v>5</v>
      </c>
      <c r="F68" s="12" t="str">
        <f t="shared" ref="F65:F69" si="26">IF($C68=L,"X","")</f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5"/>
        <v>X</v>
      </c>
      <c r="E69" s="12">
        <f>IF(D69="X",100*0.05,"")</f>
        <v>5</v>
      </c>
      <c r="F69" s="12" t="str">
        <f t="shared" si="26"/>
        <v/>
      </c>
      <c r="G69" s="12" t="str">
        <f>IF(F69="X",60*0.05,"")</f>
        <v/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4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4"/>
        <v/>
      </c>
    </row>
    <row r="72" spans="1:11" ht="24" customHeight="1" x14ac:dyDescent="0.3">
      <c r="A72" s="40"/>
      <c r="B72" s="18" t="s">
        <v>12</v>
      </c>
      <c r="C72" s="22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5.2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 xml:space="preserve">GALLARDO 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ref="D78:D82" si="30">IF($C81=CL,"X","")</f>
        <v>X</v>
      </c>
      <c r="E81" s="12">
        <f>IF(D81="X",100*0.05,"")</f>
        <v>5</v>
      </c>
      <c r="F81" s="12" t="str">
        <f t="shared" ref="F78:F82" si="31">IF($C81=L,"X","")</f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0"/>
        <v>X</v>
      </c>
      <c r="E82" s="12">
        <f>IF(D82="X",100*0.05,"")</f>
        <v>5</v>
      </c>
      <c r="F82" s="12" t="str">
        <f t="shared" si="31"/>
        <v/>
      </c>
      <c r="G82" s="12" t="str">
        <f>IF(F82="X",60*0.05,"")</f>
        <v/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">
      <c r="A85" s="40"/>
      <c r="B85" s="18" t="s">
        <v>12</v>
      </c>
      <c r="C85" s="22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5.2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2025-12-08T20:20:21Z</dcterms:modified>
  <cp:category/>
  <cp:contentStatus/>
</cp:coreProperties>
</file>