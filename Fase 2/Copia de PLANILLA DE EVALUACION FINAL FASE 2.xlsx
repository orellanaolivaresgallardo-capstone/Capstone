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4C576949-7105-4CB1-BDF5-7029BEC3F771}"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G64" i="1" s="1"/>
  <c r="E62" i="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E64" i="1" l="1"/>
  <c r="I64" i="1"/>
  <c r="K64"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64" i="1" l="1"/>
  <c r="C65" i="1" s="1"/>
  <c r="C43" i="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<sst xmlns="http://schemas.openxmlformats.org/spreadsheetml/2006/main" count="169" uniqueCount="80">
  <si>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</si>
  <si>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</si>
  <si>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</si>
  <si>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</si>
  <si>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</si>
  <si>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</si>
  <si>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</si>
  <si>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</si>
  <si>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</si>
  <si>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</si>
  <si>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</si>
  <si>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</si>
  <si>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</si>
  <si>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</si>
  <si>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</si>
  <si>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</si>
  <si>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</si>
  <si>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</si>
  <si>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</si>
  <si>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</si>
  <si>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</si>
  <si>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</si>
  <si>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</si>
  <si>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</si>
  <si>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</si>
  <si>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</si>
  <si>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</si>
  <si>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</si>
  <si>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</si>
  <si>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</si>
  <si>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</si>
  <si>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</si>
  <si>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</si>
  <si>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</si>
  <si>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</si>
  <si>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</si>
  <si>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</si>
  <si>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</si>
  <si>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</si>
  <si>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</si>
  <si>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</si>
  <si>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</si>
  <si>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</si>
  <si>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</si>
  <si>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</si>
  <si>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</si>
  <si>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</si>
  <si>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</si>
  <si>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</si>
  <si>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</si>
  <si>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</si>
  <si>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</si>
  <si>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</si>
  <si>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</si>
  <si>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</si>
  <si>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</si>
  <si>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</si>
  <si>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</si>
  <si>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</si>
  <si>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</si>
  <si>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</si>
  <si>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</si>
  <si>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</si>
  <si>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</si>
  <si>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</si>
  <si>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</si>
  <si>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</si>
  <si>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</si>
  <si>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</si>
  <si>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</si>
  <si>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</si>
  <si>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</si>
  <si>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</si>
  <si>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</si>
  <si>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</si>
  <si>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</si>
  <si>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</si>
  <si>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orellana</t>
  </si>
  <si>
    <t>olivares luis</t>
  </si>
  <si>
    <t>gallardo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</si>
</sst>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Fill="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L51" sqref="L5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77</v>
      </c>
      <c r="C4" s="5">
        <f>EVALUACION1!$C$21</f>
        <v>5.4</v>
      </c>
      <c r="D4" s="5">
        <f>$C$32</f>
        <v>7</v>
      </c>
      <c r="E4" s="6">
        <f>C4*C$2+D4*D$2</f>
        <v>5.8000000000000007</v>
      </c>
      <c r="G4" s="1"/>
    </row>
    <row r="5" spans="1:11" x14ac:dyDescent="0.25">
      <c r="A5" s="4">
        <v>2</v>
      </c>
      <c r="B5" s="27" t="s">
        <v>78</v>
      </c>
      <c r="C5" s="5">
        <f>EVALUACION1!$C$21</f>
        <v>5.4</v>
      </c>
      <c r="D5" s="5">
        <f>C44</f>
        <v>7</v>
      </c>
      <c r="E5" s="6">
        <f t="shared" ref="E5:E6" si="0">C5*C$2+D5*D$2</f>
        <v>5.8000000000000007</v>
      </c>
      <c r="G5" s="1"/>
    </row>
    <row r="6" spans="1:11" x14ac:dyDescent="0.25">
      <c r="A6" s="4">
        <v>3</v>
      </c>
      <c r="B6" s="74" t="s">
        <v>79</v>
      </c>
      <c r="C6" s="75">
        <f>EVALUACION1!$C$21</f>
        <v>5.4</v>
      </c>
      <c r="D6" s="75">
        <f>C55</f>
        <v>7</v>
      </c>
      <c r="E6" s="76">
        <f t="shared" si="0"/>
        <v>5.8000000000000007</v>
      </c>
      <c r="G6" s="1"/>
    </row>
    <row r="7" spans="1:11" ht="15" customHeight="1" x14ac:dyDescent="0.25">
      <c r="A7" s="73">
        <v>4</v>
      </c>
      <c r="B7" s="77"/>
      <c r="C7" s="78"/>
      <c r="D7" s="78"/>
      <c r="E7" s="78"/>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76</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76</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
      <c r="A20" s="65"/>
      <c r="B20" s="29" t="s">
        <v>66</v>
      </c>
      <c r="C20" s="33">
        <f>E20+G20+I20+K20</f>
        <v>59</v>
      </c>
      <c r="D20" s="19"/>
      <c r="E20" s="19">
        <f>SUM(E13:E19)</f>
        <v>35</v>
      </c>
      <c r="F20" s="19"/>
      <c r="G20" s="19">
        <f>SUM(G13:G19)</f>
        <v>24</v>
      </c>
      <c r="H20" s="19"/>
      <c r="I20" s="19">
        <f>SUM(I13:I19)</f>
        <v>0</v>
      </c>
      <c r="J20" s="19"/>
      <c r="K20" s="19">
        <f>SUM(K13:K19)</f>
        <v>0</v>
      </c>
    </row>
    <row r="21" spans="1:11" ht="15.75" customHeight="1" outlineLevel="1" x14ac:dyDescent="0.3">
      <c r="A21" s="54"/>
      <c r="B21" s="32" t="s">
        <v>67</v>
      </c>
      <c r="C21" s="20">
        <f>VLOOKUP(C20,ESCALA_IEP!A1:B152,2,FALSE)</f>
        <v>5.4</v>
      </c>
    </row>
    <row r="22" spans="1:11" ht="15.75" customHeight="1" x14ac:dyDescent="0.25"/>
    <row r="23" spans="1:11" ht="15.75" customHeight="1" x14ac:dyDescent="0.25"/>
    <row r="24" spans="1:11" ht="15.75" customHeight="1" x14ac:dyDescent="0.25">
      <c r="A24" s="64" t="s">
        <v>59</v>
      </c>
      <c r="B24" s="53" t="s">
        <v>68</v>
      </c>
      <c r="C24" s="56" t="str">
        <f>$B$4</f>
        <v>orellana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 customHeight="1" x14ac:dyDescent="0.25">
      <c r="A30" s="65"/>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olivares luis</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x14ac:dyDescent="0.25">
      <c r="A42" s="65"/>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gallardo</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x14ac:dyDescent="0.25">
      <c r="A53" s="65"/>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8.75" customHeight="1" x14ac:dyDescent="0.25">
      <c r="A57" s="64" t="s">
        <v>59</v>
      </c>
      <c r="B57" s="53" t="s">
        <v>68</v>
      </c>
      <c r="C57" s="56"/>
      <c r="D57" s="57"/>
      <c r="E57" s="57"/>
      <c r="F57" s="57"/>
      <c r="G57" s="57"/>
      <c r="H57" s="57"/>
      <c r="I57" s="57"/>
      <c r="J57" s="57"/>
      <c r="K57" s="58"/>
    </row>
    <row r="58" spans="1:11" ht="15.75" customHeight="1" x14ac:dyDescent="0.25">
      <c r="A58" s="65"/>
      <c r="B58" s="54"/>
      <c r="C58" s="59"/>
      <c r="D58" s="60"/>
      <c r="E58" s="60"/>
      <c r="F58" s="60"/>
      <c r="G58" s="60"/>
      <c r="H58" s="60"/>
      <c r="I58" s="60"/>
      <c r="J58" s="60"/>
      <c r="K58" s="61"/>
    </row>
    <row r="59" spans="1:11" ht="15.75" customHeight="1" x14ac:dyDescent="0.25">
      <c r="A59" s="65"/>
      <c r="B59" s="14" t="s">
        <v>69</v>
      </c>
      <c r="C59" s="55" t="s">
        <v>60</v>
      </c>
      <c r="D59" s="62" t="s">
        <v>61</v>
      </c>
      <c r="E59" s="67"/>
      <c r="F59" s="67"/>
      <c r="G59" s="67"/>
      <c r="H59" s="67"/>
      <c r="I59" s="67"/>
      <c r="J59" s="67"/>
      <c r="K59" s="63"/>
    </row>
    <row r="60" spans="1:11" ht="15.75" customHeight="1" x14ac:dyDescent="0.25">
      <c r="A60" s="65"/>
      <c r="B60" s="15" t="s">
        <v>62</v>
      </c>
      <c r="C60" s="54"/>
      <c r="D60" s="62" t="s">
        <v>63</v>
      </c>
      <c r="E60" s="63"/>
      <c r="F60" s="62" t="s">
        <v>64</v>
      </c>
      <c r="G60" s="63"/>
      <c r="H60" s="66" t="s">
        <v>65</v>
      </c>
      <c r="I60" s="63"/>
      <c r="J60" s="62" t="s">
        <v>6</v>
      </c>
      <c r="K60" s="63"/>
    </row>
    <row r="61" spans="1:11" ht="15.75" customHeight="1" x14ac:dyDescent="0.25">
      <c r="A61" s="65"/>
      <c r="B61" s="30">
        <f>RUBRICA!A16</f>
        <v>0</v>
      </c>
      <c r="C61" s="28" t="s">
        <v>63</v>
      </c>
      <c r="D61" s="16"/>
      <c r="E61" s="16" t="str">
        <f>IF(D61="X",100*0.05,"")</f>
        <v/>
      </c>
      <c r="F61" s="16"/>
      <c r="G61" s="16" t="str">
        <f>IF(F61="X",60*0.05,"")</f>
        <v/>
      </c>
      <c r="H61" s="16" t="str">
        <f t="shared" ref="H61:H63" si="14">IF($C61=ML,"X","")</f>
        <v/>
      </c>
      <c r="I61" s="16" t="str">
        <f>IF(H61="X",30*0.05,"")</f>
        <v/>
      </c>
      <c r="J61" s="16" t="str">
        <f t="shared" ref="J61:J63" si="15">IF($C61=NL,"X","")</f>
        <v/>
      </c>
      <c r="K61" s="16" t="str">
        <f t="shared" ref="K61:K63" si="16">IF($J61="X",0,"")</f>
        <v/>
      </c>
    </row>
    <row r="62" spans="1:11" ht="15.75" customHeight="1" x14ac:dyDescent="0.25">
      <c r="A62" s="65"/>
      <c r="B62" s="30">
        <f>RUBRICA!A21</f>
        <v>0</v>
      </c>
      <c r="C62" s="28" t="s">
        <v>63</v>
      </c>
      <c r="D62" s="16"/>
      <c r="E62" s="16" t="str">
        <f>IF(D62="X",100*0.1,"")</f>
        <v/>
      </c>
      <c r="F62" s="16"/>
      <c r="G62" s="16" t="str">
        <f>IF(F62="X",60*0.1,"")</f>
        <v/>
      </c>
      <c r="H62" s="16" t="str">
        <f t="shared" si="14"/>
        <v/>
      </c>
      <c r="I62" s="16" t="str">
        <f>IF(H62="X",30*0.1,"")</f>
        <v/>
      </c>
      <c r="J62" s="16" t="str">
        <f t="shared" si="15"/>
        <v/>
      </c>
      <c r="K62" s="16" t="str">
        <f t="shared" si="16"/>
        <v/>
      </c>
    </row>
    <row r="63" spans="1:11" ht="15.75" customHeight="1" x14ac:dyDescent="0.25">
      <c r="A63" s="65"/>
      <c r="B63" s="30">
        <f>RUBRICA!A23</f>
        <v>0</v>
      </c>
      <c r="C63" s="28" t="s">
        <v>63</v>
      </c>
      <c r="D63" s="16"/>
      <c r="E63" s="16" t="str">
        <f>IF(D63="X",100*0.1,"")</f>
        <v/>
      </c>
      <c r="F63" s="16"/>
      <c r="G63" s="16" t="str">
        <f>IF(F63="X",60*0.1,"")</f>
        <v/>
      </c>
      <c r="H63" s="16" t="str">
        <f t="shared" si="14"/>
        <v/>
      </c>
      <c r="I63" s="16" t="str">
        <f>IF(H63="X",30*0.1,"")</f>
        <v/>
      </c>
      <c r="J63" s="16" t="str">
        <f t="shared" si="15"/>
        <v/>
      </c>
      <c r="K63" s="16" t="str">
        <f t="shared" si="16"/>
        <v/>
      </c>
    </row>
    <row r="64" spans="1:11" ht="15.75" customHeight="1" x14ac:dyDescent="0.3">
      <c r="A64" s="65"/>
      <c r="B64" s="21" t="s">
        <v>70</v>
      </c>
      <c r="C64" s="18">
        <f>E64+G64+I64+K64</f>
        <v>0</v>
      </c>
      <c r="D64" s="19"/>
      <c r="E64" s="19">
        <f>SUM(E61:E63)</f>
        <v>0</v>
      </c>
      <c r="F64" s="19"/>
      <c r="G64" s="19">
        <f>SUM(G61:G63)</f>
        <v>0</v>
      </c>
      <c r="H64" s="19"/>
      <c r="I64" s="19">
        <f>SUM(I61:I63)</f>
        <v>0</v>
      </c>
      <c r="J64" s="19"/>
      <c r="K64" s="19">
        <f>SUM(K62:K63)</f>
        <v>0</v>
      </c>
    </row>
    <row r="65" spans="1:3" ht="15.75" customHeight="1" x14ac:dyDescent="0.3">
      <c r="A65" s="54"/>
      <c r="B65" s="17" t="s">
        <v>67</v>
      </c>
      <c r="C65" s="20" t="e">
        <f>VLOOKUP(C64,ESCALA_TRAB_EQUIP!A11:B62,2,FALSE)</f>
        <v>#N/A</v>
      </c>
    </row>
    <row r="66" spans="1:3" ht="15.75" customHeight="1" x14ac:dyDescent="0.3"/>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H60:I60"/>
    <mergeCell ref="J60:K60"/>
    <mergeCell ref="A57:A65"/>
    <mergeCell ref="B57:B58"/>
    <mergeCell ref="C57:K58"/>
    <mergeCell ref="C59:C60"/>
    <mergeCell ref="D59:K59"/>
    <mergeCell ref="D60:E60"/>
    <mergeCell ref="F60:G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2025-12-08T19:34:39Z</dcterms:modified>
  <cp:category/>
  <cp:contentStatus/>
</cp:coreProperties>
</file>