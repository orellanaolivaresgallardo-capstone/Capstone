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174" documentId="11_B9865618F9E78C732501D7A7DA2FFE77E3E774C3" xr6:coauthVersionLast="47" xr6:coauthVersionMax="47" xr10:uidLastSave="{EC1D064C-1297-4E21-8D90-3998F5456B43}"/>
  <bookViews>
    <workbookView xWindow="0" yWindow="0" windowWidth="0" windowHeight="0" xr2:uid="{00000000-000D-0000-FFFF-FFFF00000000}"/>
  </bookViews>
  <sheets>
    <sheet name="Plan de pruebas" sheetId="1" r:id="rId1"/>
    <sheet name="Glosario Estados de pruebas" sheetId="2" r:id="rId2"/>
    <sheet name="Datos" sheetId="3" r:id="rId3"/>
  </sheets>
  <definedNames>
    <definedName name="_xlnm._FilterDatabase" localSheetId="0" hidden="1">'Plan de pruebas'!$A$1:$L$50</definedName>
  </definedNames>
  <calcPr calcId="191028"/>
  <pivotCaches>
    <pivotCache cacheId="49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mMKMphs4/nYWEXEcWc9SAhrouJIN2jIn8BtkXIaJ/A="/>
    </ext>
  </extLst>
</workbook>
</file>

<file path=xl/calcChain.xml><?xml version="1.0" encoding="utf-8"?>
<calcChain xmlns="http://schemas.openxmlformats.org/spreadsheetml/2006/main">
  <c r="J23" i="3" l="1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</calcChain>
</file>

<file path=xl/sharedStrings.xml><?xml version="1.0" encoding="utf-8"?>
<sst xmlns="http://schemas.openxmlformats.org/spreadsheetml/2006/main" count="174" uniqueCount="121">
  <si>
    <t>ID</t>
  </si>
  <si>
    <t>Objetivo</t>
  </si>
  <si>
    <t>Alcance</t>
  </si>
  <si>
    <t>Tipo de Prueba</t>
  </si>
  <si>
    <t>Estrategia</t>
  </si>
  <si>
    <t>Datos requeridos</t>
  </si>
  <si>
    <t>Pasos</t>
  </si>
  <si>
    <t>Criterios de aceptación</t>
  </si>
  <si>
    <t>Estado</t>
  </si>
  <si>
    <t>Resultado Obtenido</t>
  </si>
  <si>
    <t>Observaciones</t>
  </si>
  <si>
    <t>Encargado de la prueba</t>
  </si>
  <si>
    <t>TP-001</t>
  </si>
  <si>
    <t>Validación de la carga exitosa de documento</t>
  </si>
  <si>
    <t>UI</t>
  </si>
  <si>
    <t>Funcional</t>
  </si>
  <si>
    <t>Caja Negra</t>
  </si>
  <si>
    <t>Estar logueado</t>
  </si>
  <si>
    <t>1) Iniciar sesión
2) Arrastar o hacer click para subir documento
3) Seleccionar archivo que coinsida el tipo
4) Crear</t>
  </si>
  <si>
    <t>Subir Documento con éxito</t>
  </si>
  <si>
    <t>Aprobada</t>
  </si>
  <si>
    <t>Registro en base de datos y 
accediendo a la UI</t>
  </si>
  <si>
    <t>Tiempo de subida 1.8s. Se recomienda barra 
de progreso para archivos más de 10MB.</t>
  </si>
  <si>
    <t>Luis Olivarez</t>
  </si>
  <si>
    <t>TP-002</t>
  </si>
  <si>
    <t>Rechazo de formato no permitido</t>
  </si>
  <si>
    <t>Archivos</t>
  </si>
  <si>
    <t>1) Iniciar sesión
 2) Seleccionar JPG u otro tipo
 3) Enviar</t>
  </si>
  <si>
    <t>Formato NO permitido en la subida de documento</t>
  </si>
  <si>
    <t>En revisión</t>
  </si>
  <si>
    <t xml:space="preserve">Notificación de documento inválido </t>
  </si>
  <si>
    <t>Agregar tooltip con formatos válidos (PDF, DOCX, 
PPTX, TXT).</t>
  </si>
  <si>
    <t>TP-003</t>
  </si>
  <si>
    <t>Rechazo por tamaño superado</t>
  </si>
  <si>
    <t>Estar logueado y archivo</t>
  </si>
  <si>
    <t>1) Iniciar sesión
 2) Seleccionar documento que pese más de 25MB
 3) Enviar</t>
  </si>
  <si>
    <t>Debe exceder el límite de tamaño de hasta 50 MB</t>
  </si>
  <si>
    <t>Pendiente</t>
  </si>
  <si>
    <t>No se ha poidido subir 
documento subir por tamaño superado</t>
  </si>
  <si>
    <t>Considerar sugerir compresión o troceo de archivo 
en el mensaje.</t>
  </si>
  <si>
    <t>TP-004</t>
  </si>
  <si>
    <t>Login exitoso</t>
  </si>
  <si>
    <t>Login</t>
  </si>
  <si>
    <t>Correo y contraseña</t>
  </si>
  <si>
    <t>1) Abrir login
2) Ingresar credenciales válidas
3) Enviar</t>
  </si>
  <si>
    <t>Validar inicio de sesión para ser digido a la UI</t>
  </si>
  <si>
    <t>Redireccionado a la UI después del inicio de sesión</t>
  </si>
  <si>
    <t>Tiempo de respuesta 420ms p95.</t>
  </si>
  <si>
    <t>Martín Orellana</t>
  </si>
  <si>
    <t>TP-005</t>
  </si>
  <si>
    <t>Bloquear credenciales inválidas</t>
  </si>
  <si>
    <t>Correo</t>
  </si>
  <si>
    <t>1) Abrir login
2) Ingresar credenciales inválidas
3) Enviar</t>
  </si>
  <si>
    <t>Bloquea cuenta por varios intentos</t>
  </si>
  <si>
    <t>Excluida</t>
  </si>
  <si>
    <t>Ha mostrado mensaje error por 
credenciales inválidas</t>
  </si>
  <si>
    <t xml:space="preserve">Aplicar rate limiting tras 5 intentos fallidos </t>
  </si>
  <si>
    <t>TP-006</t>
  </si>
  <si>
    <t xml:space="preserve">Generación de resumen </t>
  </si>
  <si>
    <t>Resumen</t>
  </si>
  <si>
    <t>Caja Gris</t>
  </si>
  <si>
    <t>Documento subido</t>
  </si>
  <si>
    <t>1) Subir documento
2) Crear
3) Crear resumen del documento</t>
  </si>
  <si>
    <t>Subir documento antes crear resumen</t>
  </si>
  <si>
    <t>Resumen obtenido</t>
  </si>
  <si>
    <t>Longitud de bullets variable; normalizar a 3–5 ítems. 
Considerar caché por documentId.</t>
  </si>
  <si>
    <t>Sebastián Gallardo</t>
  </si>
  <si>
    <t>TP-007</t>
  </si>
  <si>
    <t>Manejo de documento no existentes</t>
  </si>
  <si>
    <t>IA / resumen</t>
  </si>
  <si>
    <t>Invalidación</t>
  </si>
  <si>
    <t>1) POST summarize con id inválido</t>
  </si>
  <si>
    <t>Mostrar mensaje "Documento no encontrado"</t>
  </si>
  <si>
    <t>Ha mostrado el mensaje de error 
por no encontrar documento</t>
  </si>
  <si>
    <t>Agregar enlace 'Volver a mis documentos'.</t>
  </si>
  <si>
    <t>TP-008</t>
  </si>
  <si>
    <t>Generación de Quizzes adaptativos</t>
  </si>
  <si>
    <t>Quiz y UI</t>
  </si>
  <si>
    <t>Documento subido 
con éxito</t>
  </si>
  <si>
    <t>1) Subir documento
2) hacer click en "Crear"
3) hacer click (...) y "Crear quiz"</t>
  </si>
  <si>
    <t>Generar preguntas y respuesta de los quizes</t>
  </si>
  <si>
    <t>Evaluada</t>
  </si>
  <si>
    <t>Se obtuvieron 5 preguntas; 1 ítem con 
distractores poco claros. Persistencia OK.</t>
  </si>
  <si>
    <t>Refinar plantillas de distractores y agregar 
explicación en todas las preguntas (issue #AI-07).</t>
  </si>
  <si>
    <t>TP-009</t>
  </si>
  <si>
    <t>Tiempo de respuesta de resumen</t>
  </si>
  <si>
    <t>Performance / IA / Resumen</t>
  </si>
  <si>
    <t>De Regración</t>
  </si>
  <si>
    <t>Reloj / Medición</t>
  </si>
  <si>
    <t>1) Medir tiempo p95 en 20 ejecuciones</t>
  </si>
  <si>
    <t>Registro de bugs / errores</t>
  </si>
  <si>
    <t>Logs disponibles</t>
  </si>
  <si>
    <t>Agregar alerta si p95 &gt; 14s (monitoring).</t>
  </si>
  <si>
    <t>TP-010</t>
  </si>
  <si>
    <t>Revisión estadísticas de quizzes</t>
  </si>
  <si>
    <t>Visualizar el progreso y desempeño en el aprendizaje</t>
  </si>
  <si>
    <t>Estar logueado, 
documento subido y quizzes respondidos</t>
  </si>
  <si>
    <t>Después de haber respondido los quizzes generados según la dificultad:
1) Hacer clic en Estadísticas para visualizar el progreso desde la página principal</t>
  </si>
  <si>
    <t>Mostrar los resultados después de haber respondido 
los quizzes</t>
  </si>
  <si>
    <t>Mostrando porcentaje de 
quizzes</t>
  </si>
  <si>
    <t>Se muestran los porcentajes y puntaje de los quizzes respondidos</t>
  </si>
  <si>
    <t>Prueba realizada y aprobada exitosamente.</t>
  </si>
  <si>
    <t>Prueba con resultado exitoso, pero a la que le falta agregar alguna funcionalidad para llevarla a cabo por completo.
O prueba con resultado negativo.</t>
  </si>
  <si>
    <t>Prueba en desarrollo.</t>
  </si>
  <si>
    <t>Prueba excluida por requerimiento aún no implementado.</t>
  </si>
  <si>
    <t>Prueba que no puede implementarse por falta de alguna lógica, funcionalidad o campo en concreto, pero cuyo requerimiento a la que pertenece ya está implementado.</t>
  </si>
  <si>
    <t>No Funcional</t>
  </si>
  <si>
    <t>Caja Blanca</t>
  </si>
  <si>
    <t>Completar</t>
  </si>
  <si>
    <t>COUNTA of ID Prueba</t>
  </si>
  <si>
    <t>Total general</t>
  </si>
  <si>
    <t>tipo</t>
  </si>
  <si>
    <t>módulo</t>
  </si>
  <si>
    <t>Suma total</t>
  </si>
  <si>
    <t>Tasa Aprobación</t>
  </si>
  <si>
    <t>Tasa Rechazo</t>
  </si>
  <si>
    <t>Restante</t>
  </si>
  <si>
    <t>Administrador</t>
  </si>
  <si>
    <t>Cliente</t>
  </si>
  <si>
    <t>Empleado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</si>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</sst>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1" fillId="0" borderId="5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0" borderId="8" xfId="0" applyFont="1" applyBorder="1" applyAlignment="1">
      <alignment vertical="center"/>
    </xf>
    <xf numFmtId="0" fontId="3" fillId="0" borderId="9" xfId="0" applyFont="1" applyBorder="1"/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/>
    <xf numFmtId="0" fontId="0" fillId="0" borderId="17" xfId="0" pivotButton="1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3" xfId="0" applyFont="1" applyBorder="1"/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5" fillId="0" borderId="5" xfId="1" applyBorder="1"/>
    <xf numFmtId="0" fontId="0" fillId="0" borderId="17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0" xfId="0" applyAlignment="1">
      <alignment wrapText="1"/>
    </xf>
    <xf numFmtId="0" fontId="1" fillId="0" borderId="14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</cellXfs>
  <cellStyles count="2">
    <cellStyle name="Hyperlink" xfId="1" xr:uid="{00000000-000B-0000-0000-000008000000}"/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lan de prueba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984.729683680554" refreshedVersion="8" recordCount="2" xr:uid="{00000000-000A-0000-FFFF-FFFF00000000}">
  <cacheSource type="worksheet">
    <worksheetSource ref="A1:L3" sheet="Plan de pruebas"/>
  </cacheSource>
  <cacheFields count="12">
    <cacheField name="ID" numFmtId="0">
      <sharedItems/>
    </cacheField>
    <cacheField name="Objetivo" numFmtId="0">
      <sharedItems/>
    </cacheField>
    <cacheField name="Alcance" numFmtId="0">
      <sharedItems/>
    </cacheField>
    <cacheField name="Tipo de Prueba" numFmtId="0">
      <sharedItems count="1">
        <s v="Funcional"/>
      </sharedItems>
    </cacheField>
    <cacheField name="Estrategia" numFmtId="0">
      <sharedItems/>
    </cacheField>
    <cacheField name="Datos requeridos" numFmtId="0">
      <sharedItems/>
    </cacheField>
    <cacheField name="Pasos" numFmtId="0">
      <sharedItems/>
    </cacheField>
    <cacheField name="Criterios de aceptación" numFmtId="0">
      <sharedItems/>
    </cacheField>
    <cacheField name="Estado" numFmtId="0">
      <sharedItems count="2">
        <s v="Aprobada"/>
        <s v="En revisión"/>
      </sharedItems>
    </cacheField>
    <cacheField name="Resultado Obtenido" numFmtId="0">
      <sharedItems/>
    </cacheField>
    <cacheField name="Observaciones" numFmtId="0">
      <sharedItems/>
    </cacheField>
    <cacheField name="Encargado de la prueb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TP-001"/>
    <s v="Validación de la carga exitosa de documento"/>
    <s v="UI"/>
    <x v="0"/>
    <s v="Caja Negra"/>
    <s v="Estar logueado"/>
    <s v="1) Iniciar sesión_x000a_2) Arrastar o hacer click para subir documento_x000a_3) Seleccionar archivo que coinsida el tipo_x000a_4) Crear"/>
    <s v="Subir Documento con éxito"/>
    <x v="0"/>
    <s v="Registro en base de datos y _x000a_accediendo a la UI"/>
    <s v="Tiempo de subida 1.8s. Se recomienda barra _x000a_de progreso para archivos &gt;10MB."/>
    <s v="Luis Olivarez"/>
  </r>
  <r>
    <s v="TP-002"/>
    <s v="Rechazo de formato no permitido"/>
    <s v="Archivos"/>
    <x v="0"/>
    <s v="Caja Negra"/>
    <s v="Estar logueado"/>
    <s v="1) Iniciar sesión_x000a_ 2) Seleccionar JPG u otro tipo_x000a_ 3) Enviar"/>
    <s v="Formato NO permitido en la subida de documento"/>
    <x v="1"/>
    <s v="Notificación de documento inválido "/>
    <s v="Agregar tooltip con formatos válidos (PDF, DOCX, TXT)."/>
    <s v="Luis Olivare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atos" cacheId="492" applyNumberFormats="0" applyBorderFormats="0" applyFontFormats="0" applyPatternFormats="0" applyAlignmentFormats="0" applyWidthHeightFormats="0" dataCaption="" updatedVersion="8" compact="0" compactData="0">
  <location ref="A7:D10" firstHeaderRow="1" firstDataRow="2" firstDataCol="1"/>
  <pivotFields count="12">
    <pivotField name="ID" dataField="1" compact="0" outline="0" multipleItemSelectionAllowed="1" showAll="0"/>
    <pivotField name="Objetivo" compact="0" outline="0" multipleItemSelectionAllowed="1" showAll="0"/>
    <pivotField name="Alcance" compact="0" outline="0" multipleItemSelectionAllowed="1" showAll="0"/>
    <pivotField name="Tipo de Prueba" axis="axisRow" compact="0" outline="0" multipleItemSelectionAllowed="1" showAll="0" sortType="ascending">
      <items count="2">
        <item x="0"/>
        <item t="default"/>
      </items>
    </pivotField>
    <pivotField name="Estrategia" compact="0" outline="0" multipleItemSelectionAllowed="1" showAll="0"/>
    <pivotField name="Datos requeridos" compact="0" outline="0" multipleItemSelectionAllowed="1" showAll="0"/>
    <pivotField name="Pasos" compact="0" outline="0" multipleItemSelectionAllowed="1" showAll="0"/>
    <pivotField name="Criterios de aceptación" compact="0" outline="0" multipleItemSelectionAllowed="1" showAll="0"/>
    <pivotField name="Estado" axis="axisCol" compact="0" outline="0" multipleItemSelectionAllowed="1" showAll="0" sortType="ascending">
      <items count="3">
        <item x="0"/>
        <item x="1"/>
        <item t="default"/>
      </items>
    </pivotField>
    <pivotField name="Resultado Obtenido" compact="0" outline="0" multipleItemSelectionAllowed="1" showAll="0"/>
    <pivotField name="Observaciones" compact="0" outline="0" multipleItemSelectionAllowed="1" showAll="0"/>
    <pivotField name="Encargado de la prueba" compact="0" outline="0" multipleItemSelectionAllowed="1" showAll="0"/>
  </pivotFields>
  <rowFields count="1">
    <field x="3"/>
  </rowFields>
  <rowItems count="2">
    <i>
      <x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A of ID Prueba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L50">
  <autoFilter ref="A1:L50" xr:uid="{00000000-0009-0000-0100-000001000000}"/>
  <tableColumns count="12">
    <tableColumn id="1" xr3:uid="{00000000-0010-0000-0000-000001000000}" name="ID"/>
    <tableColumn id="2" xr3:uid="{00000000-0010-0000-0000-000002000000}" name="Objetivo"/>
    <tableColumn id="3" xr3:uid="{00000000-0010-0000-0000-000003000000}" name="Alcance"/>
    <tableColumn id="4" xr3:uid="{00000000-0010-0000-0000-000004000000}" name="Tipo de Prueba"/>
    <tableColumn id="5" xr3:uid="{00000000-0010-0000-0000-000005000000}" name="Estrategia"/>
    <tableColumn id="7" xr3:uid="{00000000-0010-0000-0000-000007000000}" name="Datos requeridos"/>
    <tableColumn id="8" xr3:uid="{00000000-0010-0000-0000-000008000000}" name="Pasos"/>
    <tableColumn id="9" xr3:uid="{00000000-0010-0000-0000-000009000000}" name="Criterios de aceptación"/>
    <tableColumn id="10" xr3:uid="{00000000-0010-0000-0000-00000A000000}" name="Estado"/>
    <tableColumn id="11" xr3:uid="{00000000-0010-0000-0000-00000B000000}" name="Resultado Obtenido"/>
    <tableColumn id="12" xr3:uid="{00000000-0010-0000-0000-00000C000000}" name="Observaciones"/>
    <tableColumn id="13" xr3:uid="{00000000-0010-0000-0000-00000D000000}" name="Encargado de la prueba"/>
  </tableColumns>
  <tableStyleInfo name="Plan de prueb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email=user@demo.com,%20pass=Err&#243;ne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workbookViewId="0">
      <pane ySplit="1" topLeftCell="I9" activePane="bottomLeft" state="frozen"/>
      <selection pane="bottomLeft" activeCell="L11" sqref="L11"/>
    </sheetView>
  </sheetViews>
  <sheetFormatPr defaultColWidth="14.42578125" defaultRowHeight="15" customHeight="1"/>
  <cols>
    <col min="1" max="1" width="14.85546875" customWidth="1"/>
    <col min="2" max="2" width="39.140625" customWidth="1"/>
    <col min="3" max="3" width="47" customWidth="1"/>
    <col min="4" max="4" width="17.7109375" customWidth="1"/>
    <col min="5" max="5" width="26.5703125" customWidth="1"/>
    <col min="6" max="6" width="23.42578125" customWidth="1"/>
    <col min="7" max="7" width="56.140625" customWidth="1"/>
    <col min="8" max="8" width="49" customWidth="1"/>
    <col min="9" max="9" width="43.85546875" customWidth="1"/>
    <col min="10" max="10" width="28.140625" customWidth="1"/>
    <col min="11" max="11" width="44.85546875" customWidth="1"/>
    <col min="12" max="12" width="49.85546875" customWidth="1"/>
    <col min="13" max="13" width="16.7109375" customWidth="1"/>
    <col min="14" max="27" width="10.710937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66.75" customHeight="1">
      <c r="A2" s="6" t="s">
        <v>12</v>
      </c>
      <c r="B2" s="7" t="s">
        <v>13</v>
      </c>
      <c r="C2" s="7" t="s">
        <v>14</v>
      </c>
      <c r="D2" s="8" t="s">
        <v>15</v>
      </c>
      <c r="E2" s="8" t="s">
        <v>16</v>
      </c>
      <c r="F2" s="7" t="s">
        <v>17</v>
      </c>
      <c r="G2" s="41" t="s">
        <v>18</v>
      </c>
      <c r="H2" s="7" t="s">
        <v>19</v>
      </c>
      <c r="I2" s="36" t="s">
        <v>20</v>
      </c>
      <c r="J2" s="41" t="s">
        <v>21</v>
      </c>
      <c r="K2" s="41" t="s">
        <v>22</v>
      </c>
      <c r="L2" s="9" t="s">
        <v>23</v>
      </c>
    </row>
    <row r="3" spans="1:26" ht="77.25" customHeight="1">
      <c r="A3" s="10" t="s">
        <v>24</v>
      </c>
      <c r="B3" s="11" t="s">
        <v>25</v>
      </c>
      <c r="C3" s="11" t="s">
        <v>26</v>
      </c>
      <c r="D3" s="12" t="s">
        <v>15</v>
      </c>
      <c r="E3" s="12" t="s">
        <v>16</v>
      </c>
      <c r="F3" s="11" t="s">
        <v>17</v>
      </c>
      <c r="G3" s="42" t="s">
        <v>27</v>
      </c>
      <c r="H3" s="11" t="s">
        <v>28</v>
      </c>
      <c r="I3" s="12" t="s">
        <v>29</v>
      </c>
      <c r="J3" s="42" t="s">
        <v>30</v>
      </c>
      <c r="K3" s="42" t="s">
        <v>31</v>
      </c>
      <c r="L3" s="13" t="s">
        <v>23</v>
      </c>
    </row>
    <row r="4" spans="1:26" ht="66" customHeight="1">
      <c r="A4" s="6" t="s">
        <v>32</v>
      </c>
      <c r="B4" s="7" t="s">
        <v>33</v>
      </c>
      <c r="C4" s="7" t="s">
        <v>26</v>
      </c>
      <c r="D4" s="8" t="s">
        <v>15</v>
      </c>
      <c r="E4" s="8" t="s">
        <v>16</v>
      </c>
      <c r="F4" s="7" t="s">
        <v>34</v>
      </c>
      <c r="G4" s="41" t="s">
        <v>35</v>
      </c>
      <c r="H4" s="41" t="s">
        <v>36</v>
      </c>
      <c r="I4" s="8" t="s">
        <v>37</v>
      </c>
      <c r="J4" s="41" t="s">
        <v>38</v>
      </c>
      <c r="K4" s="41" t="s">
        <v>39</v>
      </c>
      <c r="L4" s="9" t="s">
        <v>23</v>
      </c>
    </row>
    <row r="5" spans="1:26" ht="59.25" customHeight="1">
      <c r="A5" s="10" t="s">
        <v>40</v>
      </c>
      <c r="B5" s="11" t="s">
        <v>41</v>
      </c>
      <c r="C5" s="11" t="s">
        <v>42</v>
      </c>
      <c r="D5" s="12" t="s">
        <v>15</v>
      </c>
      <c r="E5" s="12" t="s">
        <v>16</v>
      </c>
      <c r="F5" s="42" t="s">
        <v>43</v>
      </c>
      <c r="G5" s="42" t="s">
        <v>44</v>
      </c>
      <c r="H5" s="11" t="s">
        <v>45</v>
      </c>
      <c r="I5" s="12" t="s">
        <v>20</v>
      </c>
      <c r="J5" s="42" t="s">
        <v>46</v>
      </c>
      <c r="K5" s="11" t="s">
        <v>47</v>
      </c>
      <c r="L5" s="13" t="s">
        <v>48</v>
      </c>
    </row>
    <row r="6" spans="1:26" ht="57" customHeight="1">
      <c r="A6" s="6" t="s">
        <v>49</v>
      </c>
      <c r="B6" s="7" t="s">
        <v>50</v>
      </c>
      <c r="C6" s="7" t="s">
        <v>42</v>
      </c>
      <c r="D6" s="8" t="s">
        <v>15</v>
      </c>
      <c r="E6" s="8" t="s">
        <v>16</v>
      </c>
      <c r="F6" s="43" t="s">
        <v>51</v>
      </c>
      <c r="G6" s="41" t="s">
        <v>52</v>
      </c>
      <c r="H6" s="41" t="s">
        <v>53</v>
      </c>
      <c r="I6" s="8" t="s">
        <v>54</v>
      </c>
      <c r="J6" s="41" t="s">
        <v>55</v>
      </c>
      <c r="K6" s="41" t="s">
        <v>56</v>
      </c>
      <c r="L6" s="9" t="s">
        <v>48</v>
      </c>
    </row>
    <row r="7" spans="1:26" ht="67.5" customHeight="1">
      <c r="A7" s="10" t="s">
        <v>57</v>
      </c>
      <c r="B7" s="11" t="s">
        <v>58</v>
      </c>
      <c r="C7" s="11" t="s">
        <v>59</v>
      </c>
      <c r="D7" s="12" t="s">
        <v>15</v>
      </c>
      <c r="E7" s="12" t="s">
        <v>60</v>
      </c>
      <c r="F7" s="11" t="s">
        <v>61</v>
      </c>
      <c r="G7" s="42" t="s">
        <v>62</v>
      </c>
      <c r="H7" s="11" t="s">
        <v>63</v>
      </c>
      <c r="I7" s="12" t="s">
        <v>29</v>
      </c>
      <c r="J7" s="11" t="s">
        <v>64</v>
      </c>
      <c r="K7" s="11" t="s">
        <v>65</v>
      </c>
      <c r="L7" s="13" t="s">
        <v>66</v>
      </c>
    </row>
    <row r="8" spans="1:26" ht="70.5" customHeight="1">
      <c r="A8" s="6" t="s">
        <v>67</v>
      </c>
      <c r="B8" s="7" t="s">
        <v>68</v>
      </c>
      <c r="C8" s="7" t="s">
        <v>69</v>
      </c>
      <c r="D8" s="8" t="s">
        <v>15</v>
      </c>
      <c r="E8" s="8" t="s">
        <v>16</v>
      </c>
      <c r="F8" s="7" t="s">
        <v>70</v>
      </c>
      <c r="G8" s="7" t="s">
        <v>71</v>
      </c>
      <c r="H8" s="7" t="s">
        <v>72</v>
      </c>
      <c r="I8" s="8" t="s">
        <v>54</v>
      </c>
      <c r="J8" s="41" t="s">
        <v>73</v>
      </c>
      <c r="K8" s="7" t="s">
        <v>74</v>
      </c>
      <c r="L8" s="9" t="s">
        <v>66</v>
      </c>
    </row>
    <row r="9" spans="1:26" ht="70.5" customHeight="1">
      <c r="A9" s="10" t="s">
        <v>75</v>
      </c>
      <c r="B9" s="11" t="s">
        <v>76</v>
      </c>
      <c r="C9" s="11" t="s">
        <v>77</v>
      </c>
      <c r="D9" s="12" t="s">
        <v>15</v>
      </c>
      <c r="E9" s="12" t="s">
        <v>60</v>
      </c>
      <c r="F9" s="42" t="s">
        <v>78</v>
      </c>
      <c r="G9" s="42" t="s">
        <v>79</v>
      </c>
      <c r="H9" s="11" t="s">
        <v>80</v>
      </c>
      <c r="I9" s="12" t="s">
        <v>81</v>
      </c>
      <c r="J9" s="42" t="s">
        <v>82</v>
      </c>
      <c r="K9" s="42" t="s">
        <v>83</v>
      </c>
      <c r="L9" s="13" t="s">
        <v>66</v>
      </c>
    </row>
    <row r="10" spans="1:26" ht="51" customHeight="1">
      <c r="A10" s="6" t="s">
        <v>84</v>
      </c>
      <c r="B10" s="7" t="s">
        <v>85</v>
      </c>
      <c r="C10" s="7" t="s">
        <v>86</v>
      </c>
      <c r="D10" s="8" t="s">
        <v>87</v>
      </c>
      <c r="E10" s="8" t="s">
        <v>16</v>
      </c>
      <c r="F10" s="7" t="s">
        <v>88</v>
      </c>
      <c r="G10" s="7" t="s">
        <v>89</v>
      </c>
      <c r="H10" s="7" t="s">
        <v>90</v>
      </c>
      <c r="I10" s="8" t="s">
        <v>37</v>
      </c>
      <c r="J10" s="7" t="s">
        <v>91</v>
      </c>
      <c r="K10" s="7" t="s">
        <v>92</v>
      </c>
      <c r="L10" s="9" t="s">
        <v>66</v>
      </c>
    </row>
    <row r="11" spans="1:26" ht="56.25" customHeight="1">
      <c r="A11" s="37" t="s">
        <v>93</v>
      </c>
      <c r="B11" s="8" t="s">
        <v>94</v>
      </c>
      <c r="C11" s="14" t="s">
        <v>95</v>
      </c>
      <c r="D11" s="8" t="s">
        <v>15</v>
      </c>
      <c r="E11" s="8" t="s">
        <v>16</v>
      </c>
      <c r="F11" s="14" t="s">
        <v>96</v>
      </c>
      <c r="G11" s="14" t="s">
        <v>97</v>
      </c>
      <c r="H11" s="14" t="s">
        <v>98</v>
      </c>
      <c r="I11" s="8" t="s">
        <v>20</v>
      </c>
      <c r="J11" s="50" t="s">
        <v>99</v>
      </c>
      <c r="K11" s="14" t="s">
        <v>100</v>
      </c>
      <c r="L11" s="15" t="s">
        <v>66</v>
      </c>
    </row>
    <row r="12" spans="1:26" ht="14.25" customHeight="1">
      <c r="A12" s="38"/>
      <c r="B12" s="12"/>
      <c r="C12" s="16"/>
      <c r="D12" s="12"/>
      <c r="E12" s="12"/>
      <c r="F12" s="12"/>
      <c r="G12" s="16"/>
      <c r="H12" s="12"/>
      <c r="I12" s="12"/>
      <c r="K12" s="16"/>
      <c r="L12" s="17"/>
    </row>
    <row r="13" spans="1:26" ht="14.25" customHeight="1">
      <c r="A13" s="37"/>
      <c r="B13" s="8"/>
      <c r="C13" s="14"/>
      <c r="D13" s="8"/>
      <c r="E13" s="8"/>
      <c r="F13" s="8"/>
      <c r="G13" s="14"/>
      <c r="H13" s="8"/>
      <c r="I13" s="8"/>
      <c r="K13" s="14"/>
      <c r="L13" s="15"/>
    </row>
    <row r="14" spans="1:26" ht="14.25" customHeight="1">
      <c r="A14" s="38"/>
      <c r="B14" s="12"/>
      <c r="C14" s="16"/>
      <c r="D14" s="12"/>
      <c r="E14" s="12"/>
      <c r="F14" s="12"/>
      <c r="G14" s="16"/>
      <c r="H14" s="12"/>
      <c r="I14" s="12"/>
      <c r="K14" s="16"/>
      <c r="L14" s="17"/>
    </row>
    <row r="15" spans="1:26" ht="14.25" customHeight="1">
      <c r="A15" s="37"/>
      <c r="B15" s="8"/>
      <c r="C15" s="14"/>
      <c r="D15" s="8"/>
      <c r="E15" s="8"/>
      <c r="F15" s="8"/>
      <c r="G15" s="14"/>
      <c r="H15" s="8"/>
      <c r="I15" s="8"/>
      <c r="K15" s="14"/>
      <c r="L15" s="15"/>
    </row>
    <row r="16" spans="1:26" ht="14.25" customHeight="1">
      <c r="A16" s="38"/>
      <c r="B16" s="12"/>
      <c r="C16" s="16"/>
      <c r="D16" s="12"/>
      <c r="E16" s="12"/>
      <c r="F16" s="12"/>
      <c r="G16" s="16"/>
      <c r="H16" s="12"/>
      <c r="I16" s="12"/>
      <c r="K16" s="16"/>
      <c r="L16" s="17"/>
    </row>
    <row r="17" spans="1:12" ht="14.25" customHeight="1">
      <c r="A17" s="37"/>
      <c r="B17" s="8"/>
      <c r="C17" s="14"/>
      <c r="D17" s="8"/>
      <c r="E17" s="8"/>
      <c r="F17" s="8"/>
      <c r="G17" s="14"/>
      <c r="H17" s="8"/>
      <c r="I17" s="8"/>
      <c r="K17" s="14"/>
      <c r="L17" s="15"/>
    </row>
    <row r="18" spans="1:12" ht="14.25" customHeight="1">
      <c r="A18" s="38"/>
      <c r="B18" s="12"/>
      <c r="C18" s="16"/>
      <c r="D18" s="12"/>
      <c r="E18" s="12"/>
      <c r="F18" s="12"/>
      <c r="G18" s="16"/>
      <c r="H18" s="12"/>
      <c r="I18" s="12"/>
      <c r="K18" s="16"/>
      <c r="L18" s="17"/>
    </row>
    <row r="19" spans="1:12" ht="14.25" customHeight="1">
      <c r="A19" s="37"/>
      <c r="B19" s="8"/>
      <c r="C19" s="14"/>
      <c r="D19" s="8"/>
      <c r="E19" s="8"/>
      <c r="F19" s="8"/>
      <c r="G19" s="14"/>
      <c r="H19" s="8"/>
      <c r="I19" s="8"/>
      <c r="J19" s="18"/>
      <c r="K19" s="14"/>
      <c r="L19" s="15"/>
    </row>
    <row r="20" spans="1:12" ht="14.25" customHeight="1">
      <c r="A20" s="38"/>
      <c r="B20" s="12"/>
      <c r="C20" s="16"/>
      <c r="D20" s="12"/>
      <c r="E20" s="12"/>
      <c r="F20" s="12"/>
      <c r="G20" s="16"/>
      <c r="H20" s="12"/>
      <c r="I20" s="12"/>
      <c r="J20" s="19"/>
      <c r="K20" s="16"/>
      <c r="L20" s="17"/>
    </row>
    <row r="21" spans="1:12" ht="14.25" customHeight="1">
      <c r="A21" s="37"/>
      <c r="B21" s="8"/>
      <c r="C21" s="14"/>
      <c r="D21" s="8"/>
      <c r="E21" s="8"/>
      <c r="F21" s="8"/>
      <c r="G21" s="14"/>
      <c r="H21" s="8"/>
      <c r="I21" s="8"/>
      <c r="J21" s="18"/>
      <c r="K21" s="14"/>
      <c r="L21" s="15"/>
    </row>
    <row r="22" spans="1:12" ht="14.25" customHeight="1">
      <c r="A22" s="38"/>
      <c r="B22" s="12"/>
      <c r="C22" s="16"/>
      <c r="D22" s="12"/>
      <c r="E22" s="12"/>
      <c r="F22" s="12"/>
      <c r="G22" s="16"/>
      <c r="H22" s="12"/>
      <c r="I22" s="12"/>
      <c r="J22" s="19"/>
      <c r="K22" s="16"/>
      <c r="L22" s="17"/>
    </row>
    <row r="23" spans="1:12" ht="14.25" customHeight="1">
      <c r="A23" s="37"/>
      <c r="B23" s="8"/>
      <c r="C23" s="14"/>
      <c r="D23" s="8"/>
      <c r="E23" s="8"/>
      <c r="F23" s="8"/>
      <c r="G23" s="14"/>
      <c r="H23" s="8"/>
      <c r="I23" s="8"/>
      <c r="J23" s="18"/>
      <c r="K23" s="14"/>
      <c r="L23" s="15"/>
    </row>
    <row r="24" spans="1:12" ht="14.25" customHeight="1">
      <c r="A24" s="38"/>
      <c r="B24" s="12"/>
      <c r="C24" s="16"/>
      <c r="D24" s="12"/>
      <c r="E24" s="12"/>
      <c r="F24" s="12"/>
      <c r="G24" s="16"/>
      <c r="H24" s="12"/>
      <c r="I24" s="12"/>
      <c r="J24" s="19"/>
      <c r="K24" s="16"/>
      <c r="L24" s="17"/>
    </row>
    <row r="25" spans="1:12" ht="14.25" customHeight="1">
      <c r="A25" s="37"/>
      <c r="B25" s="8"/>
      <c r="C25" s="14"/>
      <c r="D25" s="8"/>
      <c r="E25" s="8"/>
      <c r="F25" s="8"/>
      <c r="G25" s="14"/>
      <c r="H25" s="8"/>
      <c r="I25" s="8"/>
      <c r="J25" s="18"/>
      <c r="K25" s="14"/>
      <c r="L25" s="15"/>
    </row>
    <row r="26" spans="1:12" ht="14.25" customHeight="1">
      <c r="A26" s="38"/>
      <c r="B26" s="12"/>
      <c r="C26" s="16"/>
      <c r="D26" s="12"/>
      <c r="E26" s="12"/>
      <c r="F26" s="12"/>
      <c r="G26" s="16"/>
      <c r="H26" s="12"/>
      <c r="I26" s="12"/>
      <c r="J26" s="19"/>
      <c r="K26" s="16"/>
      <c r="L26" s="17"/>
    </row>
    <row r="27" spans="1:12" ht="14.25" customHeight="1">
      <c r="A27" s="37"/>
      <c r="B27" s="8"/>
      <c r="C27" s="14"/>
      <c r="D27" s="8"/>
      <c r="E27" s="8"/>
      <c r="F27" s="8"/>
      <c r="G27" s="14"/>
      <c r="H27" s="8"/>
      <c r="I27" s="8"/>
      <c r="J27" s="18"/>
      <c r="K27" s="14"/>
      <c r="L27" s="15"/>
    </row>
    <row r="28" spans="1:12" ht="14.25" customHeight="1">
      <c r="A28" s="38"/>
      <c r="B28" s="12"/>
      <c r="C28" s="16"/>
      <c r="D28" s="12"/>
      <c r="E28" s="12"/>
      <c r="F28" s="12"/>
      <c r="G28" s="16"/>
      <c r="H28" s="12"/>
      <c r="I28" s="12"/>
      <c r="J28" s="19"/>
      <c r="K28" s="16"/>
      <c r="L28" s="17"/>
    </row>
    <row r="29" spans="1:12" ht="14.25" customHeight="1">
      <c r="A29" s="37"/>
      <c r="B29" s="8"/>
      <c r="C29" s="14"/>
      <c r="D29" s="8"/>
      <c r="E29" s="8"/>
      <c r="F29" s="8"/>
      <c r="G29" s="14"/>
      <c r="H29" s="8"/>
      <c r="I29" s="8"/>
      <c r="J29" s="18"/>
      <c r="K29" s="14"/>
      <c r="L29" s="15"/>
    </row>
    <row r="30" spans="1:12" ht="14.25" customHeight="1">
      <c r="A30" s="38"/>
      <c r="B30" s="12"/>
      <c r="C30" s="16"/>
      <c r="D30" s="12"/>
      <c r="E30" s="12"/>
      <c r="F30" s="12"/>
      <c r="G30" s="16"/>
      <c r="H30" s="12"/>
      <c r="I30" s="12"/>
      <c r="J30" s="19"/>
      <c r="K30" s="16"/>
      <c r="L30" s="17"/>
    </row>
    <row r="31" spans="1:12" ht="14.25" customHeight="1">
      <c r="A31" s="37"/>
      <c r="B31" s="8"/>
      <c r="C31" s="14"/>
      <c r="D31" s="8"/>
      <c r="E31" s="8"/>
      <c r="F31" s="8"/>
      <c r="G31" s="14"/>
      <c r="H31" s="8"/>
      <c r="I31" s="8"/>
      <c r="J31" s="18"/>
      <c r="K31" s="14"/>
      <c r="L31" s="15"/>
    </row>
    <row r="32" spans="1:12" ht="14.25" customHeight="1">
      <c r="A32" s="38"/>
      <c r="B32" s="12"/>
      <c r="C32" s="16"/>
      <c r="D32" s="12"/>
      <c r="E32" s="12"/>
      <c r="F32" s="12"/>
      <c r="G32" s="16"/>
      <c r="H32" s="12"/>
      <c r="I32" s="12"/>
      <c r="J32" s="19"/>
      <c r="K32" s="16"/>
      <c r="L32" s="17"/>
    </row>
    <row r="33" spans="1:12" ht="14.25" customHeight="1">
      <c r="A33" s="37"/>
      <c r="B33" s="8"/>
      <c r="C33" s="14"/>
      <c r="D33" s="8"/>
      <c r="E33" s="8"/>
      <c r="F33" s="8"/>
      <c r="G33" s="14"/>
      <c r="H33" s="8"/>
      <c r="I33" s="8"/>
      <c r="J33" s="18"/>
      <c r="K33" s="14"/>
      <c r="L33" s="15"/>
    </row>
    <row r="34" spans="1:12" ht="14.25" customHeight="1">
      <c r="A34" s="38"/>
      <c r="B34" s="12"/>
      <c r="C34" s="16"/>
      <c r="D34" s="12"/>
      <c r="E34" s="12"/>
      <c r="F34" s="12"/>
      <c r="G34" s="16"/>
      <c r="H34" s="12"/>
      <c r="I34" s="12"/>
      <c r="J34" s="19"/>
      <c r="K34" s="16"/>
      <c r="L34" s="17"/>
    </row>
    <row r="35" spans="1:12" ht="14.25" customHeight="1">
      <c r="A35" s="37"/>
      <c r="B35" s="8"/>
      <c r="C35" s="14"/>
      <c r="D35" s="8"/>
      <c r="E35" s="8"/>
      <c r="F35" s="8"/>
      <c r="G35" s="14"/>
      <c r="H35" s="8"/>
      <c r="I35" s="8"/>
      <c r="J35" s="18"/>
      <c r="K35" s="14"/>
      <c r="L35" s="15"/>
    </row>
    <row r="36" spans="1:12" ht="14.25" customHeight="1">
      <c r="A36" s="38"/>
      <c r="B36" s="12"/>
      <c r="C36" s="16"/>
      <c r="D36" s="12"/>
      <c r="E36" s="12"/>
      <c r="F36" s="12"/>
      <c r="G36" s="16"/>
      <c r="H36" s="12"/>
      <c r="I36" s="12"/>
      <c r="J36" s="19"/>
      <c r="K36" s="16"/>
      <c r="L36" s="17"/>
    </row>
    <row r="37" spans="1:12" ht="14.25" customHeight="1">
      <c r="A37" s="37"/>
      <c r="B37" s="8"/>
      <c r="C37" s="14"/>
      <c r="D37" s="8"/>
      <c r="E37" s="8"/>
      <c r="F37" s="8"/>
      <c r="G37" s="14"/>
      <c r="H37" s="8"/>
      <c r="I37" s="8"/>
      <c r="J37" s="18"/>
      <c r="K37" s="14"/>
      <c r="L37" s="15"/>
    </row>
    <row r="38" spans="1:12" ht="14.25" customHeight="1">
      <c r="A38" s="38"/>
      <c r="B38" s="12"/>
      <c r="C38" s="16"/>
      <c r="D38" s="12"/>
      <c r="E38" s="12"/>
      <c r="F38" s="12"/>
      <c r="G38" s="16"/>
      <c r="H38" s="12"/>
      <c r="I38" s="12"/>
      <c r="J38" s="19"/>
      <c r="K38" s="16"/>
      <c r="L38" s="17"/>
    </row>
    <row r="39" spans="1:12" ht="14.25" customHeight="1">
      <c r="A39" s="37"/>
      <c r="B39" s="8"/>
      <c r="C39" s="14"/>
      <c r="D39" s="8"/>
      <c r="E39" s="8"/>
      <c r="F39" s="8"/>
      <c r="G39" s="14"/>
      <c r="H39" s="8"/>
      <c r="I39" s="8"/>
      <c r="J39" s="18"/>
      <c r="K39" s="14"/>
      <c r="L39" s="15"/>
    </row>
    <row r="40" spans="1:12" ht="14.25" customHeight="1">
      <c r="A40" s="38"/>
      <c r="B40" s="12"/>
      <c r="C40" s="16"/>
      <c r="D40" s="12"/>
      <c r="E40" s="12"/>
      <c r="F40" s="12"/>
      <c r="G40" s="16"/>
      <c r="H40" s="12"/>
      <c r="I40" s="12"/>
      <c r="J40" s="19"/>
      <c r="K40" s="16"/>
      <c r="L40" s="17"/>
    </row>
    <row r="41" spans="1:12" ht="14.25" customHeight="1">
      <c r="A41" s="37"/>
      <c r="B41" s="8"/>
      <c r="C41" s="14"/>
      <c r="D41" s="8"/>
      <c r="E41" s="8"/>
      <c r="F41" s="8"/>
      <c r="G41" s="14"/>
      <c r="H41" s="8"/>
      <c r="I41" s="8"/>
      <c r="J41" s="18"/>
      <c r="K41" s="14"/>
      <c r="L41" s="15"/>
    </row>
    <row r="42" spans="1:12" ht="14.25" customHeight="1">
      <c r="A42" s="38"/>
      <c r="B42" s="12"/>
      <c r="C42" s="16"/>
      <c r="D42" s="12"/>
      <c r="E42" s="12"/>
      <c r="F42" s="12"/>
      <c r="G42" s="16"/>
      <c r="H42" s="12"/>
      <c r="I42" s="12"/>
      <c r="J42" s="19"/>
      <c r="K42" s="16"/>
      <c r="L42" s="17"/>
    </row>
    <row r="43" spans="1:12" ht="14.25" customHeight="1">
      <c r="A43" s="37"/>
      <c r="B43" s="8"/>
      <c r="C43" s="14"/>
      <c r="D43" s="8"/>
      <c r="E43" s="8"/>
      <c r="F43" s="8"/>
      <c r="G43" s="14"/>
      <c r="H43" s="8"/>
      <c r="I43" s="8"/>
      <c r="J43" s="18"/>
      <c r="K43" s="14"/>
      <c r="L43" s="15"/>
    </row>
    <row r="44" spans="1:12" ht="14.25" customHeight="1">
      <c r="A44" s="38"/>
      <c r="B44" s="12"/>
      <c r="C44" s="16"/>
      <c r="D44" s="12"/>
      <c r="E44" s="12"/>
      <c r="F44" s="12"/>
      <c r="G44" s="16"/>
      <c r="H44" s="12"/>
      <c r="I44" s="12"/>
      <c r="J44" s="19"/>
      <c r="K44" s="16"/>
      <c r="L44" s="17"/>
    </row>
    <row r="45" spans="1:12" ht="14.25" customHeight="1">
      <c r="A45" s="37"/>
      <c r="B45" s="8"/>
      <c r="C45" s="14"/>
      <c r="D45" s="8"/>
      <c r="E45" s="8"/>
      <c r="F45" s="8"/>
      <c r="G45" s="14"/>
      <c r="H45" s="8"/>
      <c r="I45" s="8"/>
      <c r="J45" s="18"/>
      <c r="K45" s="14"/>
      <c r="L45" s="15"/>
    </row>
    <row r="46" spans="1:12" ht="14.25" customHeight="1">
      <c r="A46" s="38"/>
      <c r="B46" s="12"/>
      <c r="C46" s="16"/>
      <c r="D46" s="12"/>
      <c r="E46" s="12"/>
      <c r="F46" s="12"/>
      <c r="G46" s="16"/>
      <c r="H46" s="12"/>
      <c r="I46" s="12"/>
      <c r="J46" s="19"/>
      <c r="K46" s="16"/>
      <c r="L46" s="17"/>
    </row>
    <row r="47" spans="1:12" ht="14.25" customHeight="1">
      <c r="A47" s="37"/>
      <c r="B47" s="8"/>
      <c r="C47" s="14"/>
      <c r="D47" s="8"/>
      <c r="E47" s="8"/>
      <c r="F47" s="8"/>
      <c r="G47" s="14"/>
      <c r="H47" s="8"/>
      <c r="I47" s="8"/>
      <c r="J47" s="18"/>
      <c r="K47" s="14"/>
      <c r="L47" s="15"/>
    </row>
    <row r="48" spans="1:12" ht="14.25" customHeight="1">
      <c r="A48" s="38"/>
      <c r="B48" s="12"/>
      <c r="C48" s="16"/>
      <c r="D48" s="12"/>
      <c r="E48" s="12"/>
      <c r="F48" s="12"/>
      <c r="G48" s="16"/>
      <c r="H48" s="12"/>
      <c r="I48" s="12"/>
      <c r="J48" s="19"/>
      <c r="K48" s="16"/>
      <c r="L48" s="17"/>
    </row>
    <row r="49" spans="1:12" ht="14.25" customHeight="1">
      <c r="A49" s="37"/>
      <c r="B49" s="8"/>
      <c r="C49" s="14"/>
      <c r="D49" s="8"/>
      <c r="E49" s="8"/>
      <c r="F49" s="8"/>
      <c r="G49" s="14"/>
      <c r="H49" s="8"/>
      <c r="I49" s="8"/>
      <c r="J49" s="18"/>
      <c r="K49" s="14"/>
      <c r="L49" s="15"/>
    </row>
    <row r="50" spans="1:12" ht="14.25" customHeight="1">
      <c r="A50" s="39"/>
      <c r="B50" s="20"/>
      <c r="C50" s="21"/>
      <c r="D50" s="20"/>
      <c r="E50" s="20"/>
      <c r="F50" s="20"/>
      <c r="G50" s="21"/>
      <c r="H50" s="20"/>
      <c r="I50" s="20"/>
      <c r="J50" s="22"/>
      <c r="K50" s="21"/>
      <c r="L50" s="23"/>
    </row>
    <row r="51" spans="1:12" ht="14.25" customHeight="1"/>
  </sheetData>
  <dataValidations count="3">
    <dataValidation type="list" allowBlank="1" sqref="E2:E50" xr:uid="{00000000-0002-0000-0000-000000000000}">
      <formula1>"Caja Blanca,Caja Negra,Caja Gris"</formula1>
    </dataValidation>
    <dataValidation type="list" allowBlank="1" sqref="I2:I50" xr:uid="{00000000-0002-0000-0000-000001000000}">
      <formula1>"Aprobada,Evaluada,En revisión,Excluida,Pendiente"</formula1>
    </dataValidation>
    <dataValidation type="list" allowBlank="1" sqref="D2:D50" xr:uid="{00000000-0002-0000-0000-000002000000}">
      <formula1>"Funcional,No Funcional,De Regración"</formula1>
    </dataValidation>
  </dataValidations>
  <hyperlinks>
    <hyperlink ref="F6" r:id="rId1" display="email=user@demo.com, pass=Errónea" xr:uid="{C884410B-5A8E-4FA7-8754-4126C865BA32}"/>
  </hyperlinks>
  <pageMargins left="0.7" right="0.7" top="0.75" bottom="0.75" header="0" footer="0"/>
  <pageSetup orientation="landscape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6:L10"/>
  <sheetViews>
    <sheetView workbookViewId="0"/>
  </sheetViews>
  <sheetFormatPr defaultColWidth="14.42578125" defaultRowHeight="15" customHeight="1"/>
  <cols>
    <col min="2" max="2" width="16.140625" customWidth="1"/>
  </cols>
  <sheetData>
    <row r="6" spans="2:12">
      <c r="B6" s="40" t="s">
        <v>20</v>
      </c>
      <c r="C6" s="51" t="s">
        <v>101</v>
      </c>
      <c r="D6" s="52"/>
      <c r="E6" s="52"/>
      <c r="F6" s="52"/>
      <c r="G6" s="52"/>
      <c r="H6" s="52"/>
      <c r="I6" s="52"/>
      <c r="J6" s="52"/>
      <c r="K6" s="52"/>
      <c r="L6" s="53"/>
    </row>
    <row r="7" spans="2:12">
      <c r="B7" s="40" t="s">
        <v>81</v>
      </c>
      <c r="C7" s="51" t="s">
        <v>102</v>
      </c>
      <c r="D7" s="52"/>
      <c r="E7" s="52"/>
      <c r="F7" s="52"/>
      <c r="G7" s="52"/>
      <c r="H7" s="52"/>
      <c r="I7" s="52"/>
      <c r="J7" s="52"/>
      <c r="K7" s="52"/>
      <c r="L7" s="53"/>
    </row>
    <row r="8" spans="2:12">
      <c r="B8" s="40" t="s">
        <v>29</v>
      </c>
      <c r="C8" s="51" t="s">
        <v>103</v>
      </c>
      <c r="D8" s="52"/>
      <c r="E8" s="52"/>
      <c r="F8" s="52"/>
      <c r="G8" s="52"/>
      <c r="H8" s="52"/>
      <c r="I8" s="52"/>
      <c r="J8" s="52"/>
      <c r="K8" s="52"/>
      <c r="L8" s="53"/>
    </row>
    <row r="9" spans="2:12">
      <c r="B9" s="40" t="s">
        <v>54</v>
      </c>
      <c r="C9" s="51" t="s">
        <v>104</v>
      </c>
      <c r="D9" s="52"/>
      <c r="E9" s="52"/>
      <c r="F9" s="52"/>
      <c r="G9" s="52"/>
      <c r="H9" s="52"/>
      <c r="I9" s="52"/>
      <c r="J9" s="52"/>
      <c r="K9" s="52"/>
      <c r="L9" s="53"/>
    </row>
    <row r="10" spans="2:12">
      <c r="B10" s="40" t="s">
        <v>37</v>
      </c>
      <c r="C10" s="51" t="s">
        <v>105</v>
      </c>
      <c r="D10" s="52"/>
      <c r="E10" s="52"/>
      <c r="F10" s="52"/>
      <c r="G10" s="52"/>
      <c r="H10" s="52"/>
      <c r="I10" s="52"/>
      <c r="J10" s="52"/>
      <c r="K10" s="52"/>
      <c r="L10" s="53"/>
    </row>
  </sheetData>
  <mergeCells count="5">
    <mergeCell ref="C6:L6"/>
    <mergeCell ref="C7:L7"/>
    <mergeCell ref="C8:L8"/>
    <mergeCell ref="C9:L9"/>
    <mergeCell ref="C10:L10"/>
  </mergeCells>
  <dataValidations count="1">
    <dataValidation type="list" allowBlank="1" showErrorMessage="1" sqref="B6:B10" xr:uid="{00000000-0002-0000-0100-000000000000}">
      <formula1>"Aprobada,Evaluada,En revisión,Excluida,Pendiente"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workbookViewId="0"/>
  </sheetViews>
  <sheetFormatPr defaultColWidth="14.42578125" defaultRowHeight="15" customHeight="1"/>
  <cols>
    <col min="1" max="2" width="13.28515625" customWidth="1"/>
    <col min="3" max="5" width="10.7109375" customWidth="1"/>
    <col min="6" max="6" width="12" customWidth="1"/>
    <col min="7" max="12" width="10.7109375" customWidth="1"/>
    <col min="13" max="13" width="12" customWidth="1"/>
    <col min="14" max="26" width="10.7109375" customWidth="1"/>
  </cols>
  <sheetData>
    <row r="1" spans="1:20" ht="14.25" customHeight="1"/>
    <row r="2" spans="1:20" ht="14.25" customHeight="1"/>
    <row r="3" spans="1:20" ht="14.25" customHeight="1">
      <c r="E3" s="24" t="s">
        <v>15</v>
      </c>
      <c r="F3" s="24" t="s">
        <v>16</v>
      </c>
    </row>
    <row r="4" spans="1:20" ht="14.25" customHeight="1">
      <c r="E4" s="24" t="s">
        <v>106</v>
      </c>
      <c r="F4" s="24" t="s">
        <v>107</v>
      </c>
    </row>
    <row r="5" spans="1:20" ht="14.25" customHeight="1">
      <c r="E5" s="24" t="s">
        <v>108</v>
      </c>
      <c r="F5" s="24" t="s">
        <v>60</v>
      </c>
    </row>
    <row r="6" spans="1:20" ht="14.25" customHeight="1"/>
    <row r="7" spans="1:20" ht="14.25" customHeight="1">
      <c r="A7" s="29" t="s">
        <v>109</v>
      </c>
      <c r="B7" s="29" t="s">
        <v>8</v>
      </c>
      <c r="C7" s="30"/>
      <c r="D7" s="31"/>
    </row>
    <row r="8" spans="1:20" ht="14.25" customHeight="1">
      <c r="A8" s="29" t="s">
        <v>3</v>
      </c>
      <c r="B8" s="32" t="s">
        <v>20</v>
      </c>
      <c r="C8" s="33" t="s">
        <v>29</v>
      </c>
      <c r="D8" s="34" t="s">
        <v>110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ht="14.25" customHeight="1">
      <c r="A9" s="32" t="s">
        <v>15</v>
      </c>
      <c r="B9" s="44">
        <v>1</v>
      </c>
      <c r="C9" s="45">
        <v>1</v>
      </c>
      <c r="D9" s="46">
        <v>2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14.25" customHeight="1">
      <c r="A10" s="35" t="s">
        <v>110</v>
      </c>
      <c r="B10" s="47">
        <v>1</v>
      </c>
      <c r="C10" s="48">
        <v>1</v>
      </c>
      <c r="D10" s="49">
        <v>2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ht="14.25" customHeight="1"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14.25" customHeight="1"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ht="14.25" customHeight="1"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ht="14.25" customHeight="1"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ht="14.25" customHeight="1"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ht="14.25" customHeight="1">
      <c r="D16" s="25"/>
      <c r="E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6" ht="14.25" customHeight="1">
      <c r="A17" s="26" t="s">
        <v>111</v>
      </c>
      <c r="B17" s="26" t="s">
        <v>112</v>
      </c>
      <c r="C17" s="27" t="s">
        <v>113</v>
      </c>
      <c r="D17" s="27" t="s">
        <v>20</v>
      </c>
      <c r="E17" s="27" t="s">
        <v>81</v>
      </c>
      <c r="F17" s="27" t="s">
        <v>54</v>
      </c>
      <c r="G17" s="27" t="s">
        <v>37</v>
      </c>
      <c r="H17" s="27" t="s">
        <v>114</v>
      </c>
      <c r="I17" s="27" t="s">
        <v>115</v>
      </c>
      <c r="J17" s="27" t="s">
        <v>116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6"/>
      <c r="V17" s="26"/>
      <c r="W17" s="26"/>
      <c r="X17" s="26"/>
      <c r="Y17" s="26"/>
      <c r="Z17" s="26"/>
    </row>
    <row r="18" spans="1:26" ht="14.25" customHeight="1">
      <c r="A18" s="24" t="s">
        <v>15</v>
      </c>
      <c r="B18" s="24" t="s">
        <v>117</v>
      </c>
      <c r="C18" s="25">
        <v>39</v>
      </c>
      <c r="D18" s="25">
        <v>7</v>
      </c>
      <c r="E18" s="25">
        <v>6</v>
      </c>
      <c r="F18" s="25">
        <v>25</v>
      </c>
      <c r="G18" s="25">
        <v>1</v>
      </c>
      <c r="H18" s="28">
        <f t="shared" ref="H18:I18" si="0">D18/$C18</f>
        <v>0.17948717948717949</v>
      </c>
      <c r="I18" s="28">
        <f t="shared" si="0"/>
        <v>0.15384615384615385</v>
      </c>
      <c r="J18" s="28">
        <f t="shared" ref="J18:J23" si="1">(G18)/$C18</f>
        <v>2.564102564102564E-2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6" ht="14.25" customHeight="1">
      <c r="B19" s="24" t="s">
        <v>118</v>
      </c>
      <c r="C19" s="25">
        <v>42</v>
      </c>
      <c r="D19" s="25">
        <v>19</v>
      </c>
      <c r="E19" s="25">
        <v>4</v>
      </c>
      <c r="F19" s="25">
        <v>19</v>
      </c>
      <c r="G19" s="25"/>
      <c r="H19" s="28">
        <f t="shared" ref="H19:I19" si="2">D19/$C19</f>
        <v>0.45238095238095238</v>
      </c>
      <c r="I19" s="28">
        <f t="shared" si="2"/>
        <v>9.5238095238095233E-2</v>
      </c>
      <c r="J19" s="28">
        <f t="shared" si="1"/>
        <v>0</v>
      </c>
    </row>
    <row r="20" spans="1:26" ht="14.25" customHeight="1">
      <c r="B20" s="24" t="s">
        <v>119</v>
      </c>
      <c r="C20" s="25">
        <v>71</v>
      </c>
      <c r="D20" s="25">
        <v>15</v>
      </c>
      <c r="E20" s="25">
        <v>10</v>
      </c>
      <c r="F20" s="25">
        <v>41</v>
      </c>
      <c r="G20" s="25">
        <v>5</v>
      </c>
      <c r="H20" s="28">
        <f t="shared" ref="H20:I20" si="3">D20/$C20</f>
        <v>0.21126760563380281</v>
      </c>
      <c r="I20" s="28">
        <f t="shared" si="3"/>
        <v>0.14084507042253522</v>
      </c>
      <c r="J20" s="28">
        <f t="shared" si="1"/>
        <v>7.0422535211267609E-2</v>
      </c>
    </row>
    <row r="21" spans="1:26" ht="14.25" customHeight="1">
      <c r="B21" s="24" t="s">
        <v>120</v>
      </c>
      <c r="C21" s="25">
        <v>8</v>
      </c>
      <c r="D21" s="25"/>
      <c r="E21" s="25"/>
      <c r="F21" s="25">
        <v>8</v>
      </c>
      <c r="G21" s="25"/>
      <c r="H21" s="28">
        <f t="shared" ref="H21:I21" si="4">D21/$C21</f>
        <v>0</v>
      </c>
      <c r="I21" s="28">
        <f t="shared" si="4"/>
        <v>0</v>
      </c>
      <c r="J21" s="28">
        <f t="shared" si="1"/>
        <v>0</v>
      </c>
    </row>
    <row r="22" spans="1:26" ht="14.25" customHeight="1">
      <c r="A22" s="24" t="s">
        <v>106</v>
      </c>
      <c r="B22" s="24" t="s">
        <v>120</v>
      </c>
      <c r="C22" s="25">
        <v>26</v>
      </c>
      <c r="D22" s="25">
        <v>13</v>
      </c>
      <c r="E22" s="25"/>
      <c r="F22" s="25">
        <v>8</v>
      </c>
      <c r="G22" s="25">
        <v>5</v>
      </c>
      <c r="H22" s="28">
        <f t="shared" ref="H22:I22" si="5">D22/$C22</f>
        <v>0.5</v>
      </c>
      <c r="I22" s="28">
        <f t="shared" si="5"/>
        <v>0</v>
      </c>
      <c r="J22" s="28">
        <f t="shared" si="1"/>
        <v>0.19230769230769232</v>
      </c>
    </row>
    <row r="23" spans="1:26" ht="14.25" customHeight="1">
      <c r="A23" s="24" t="s">
        <v>113</v>
      </c>
      <c r="C23" s="25">
        <v>186</v>
      </c>
      <c r="D23" s="25">
        <v>54</v>
      </c>
      <c r="E23" s="25">
        <v>20</v>
      </c>
      <c r="F23" s="25">
        <v>101</v>
      </c>
      <c r="G23" s="25">
        <v>11</v>
      </c>
      <c r="H23" s="28">
        <f t="shared" ref="H23:I23" si="6">D23/$C23</f>
        <v>0.29032258064516131</v>
      </c>
      <c r="I23" s="28">
        <f t="shared" si="6"/>
        <v>0.10752688172043011</v>
      </c>
      <c r="J23" s="28">
        <f t="shared" si="1"/>
        <v>5.9139784946236562E-2</v>
      </c>
    </row>
    <row r="24" spans="1:26" ht="14.25" customHeight="1"/>
    <row r="25" spans="1:26" ht="14.25" customHeight="1"/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Guzman Bozo, Jorge</dc:creator>
  <cp:keywords/>
  <dc:description/>
  <cp:lastModifiedBy>LUIS SEBASTIAN OLIVAREZ LAGOS</cp:lastModifiedBy>
  <cp:revision/>
  <dcterms:created xsi:type="dcterms:W3CDTF">2023-06-30T21:13:15Z</dcterms:created>
  <dcterms:modified xsi:type="dcterms:W3CDTF">2025-11-23T20:34:53Z</dcterms:modified>
  <cp:category/>
  <cp:contentStatus/>
</cp:coreProperties>
</file>